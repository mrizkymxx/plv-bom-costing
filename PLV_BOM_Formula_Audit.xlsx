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1E293B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 PRAKARSA LEAN VENTURES (PLV) - COSTING SUMMARY</t>
        </is>
      </c>
    </row>
    <row r="3">
      <c r="A3" t="inlineStr">
        <is>
          <t>ITEM CODE</t>
        </is>
      </c>
      <c r="B3" t="inlineStr">
        <is>
          <t>NAMA PRODUK</t>
        </is>
      </c>
      <c r="C3" t="inlineStr">
        <is>
          <t>QTY (PCS)</t>
        </is>
      </c>
      <c r="D3" t="inlineStr">
        <is>
          <t>HPP PABRIK (IDR)</t>
        </is>
      </c>
      <c r="E3" t="inlineStr">
        <is>
          <t>MARGIN</t>
        </is>
      </c>
      <c r="F3" t="inlineStr">
        <is>
          <t>HARGA JUAL (IDR)</t>
        </is>
      </c>
      <c r="G3" t="inlineStr">
        <is>
          <t>TOTAL NILAI SPK (IDR)</t>
        </is>
      </c>
    </row>
    <row r="4">
      <c r="A4" t="inlineStr">
        <is>
          <t>OV-505 B</t>
        </is>
      </c>
      <c r="B4" t="inlineStr">
        <is>
          <t>SHELF BELOW VANITY COUNTER</t>
        </is>
      </c>
      <c r="C4" s="2" t="n">
        <v>236</v>
      </c>
      <c r="D4" s="3" t="n">
        <v>837363</v>
      </c>
      <c r="E4" s="4" t="n">
        <v>0.3</v>
      </c>
      <c r="F4" s="3">
        <f>D4*(1+E4)</f>
        <v/>
      </c>
      <c r="G4" s="3">
        <f>C4*F4</f>
        <v/>
      </c>
    </row>
    <row r="5">
      <c r="A5" t="inlineStr">
        <is>
          <t>ID-OV-506</t>
        </is>
      </c>
      <c r="B5" t="inlineStr">
        <is>
          <t>A/C COVER @OVERWATER (KECIL)</t>
        </is>
      </c>
      <c r="C5" s="2" t="n">
        <v>109</v>
      </c>
      <c r="D5" s="3" t="n">
        <v>890771</v>
      </c>
      <c r="E5" s="4" t="n">
        <v>0.3</v>
      </c>
      <c r="F5" s="3">
        <f>D5*(1+E5)</f>
        <v/>
      </c>
      <c r="G5" s="3">
        <f>C5*F5</f>
        <v/>
      </c>
    </row>
    <row r="6">
      <c r="A6" t="inlineStr">
        <is>
          <t>TB-02</t>
        </is>
      </c>
      <c r="B6" t="inlineStr">
        <is>
          <t>Side Table</t>
        </is>
      </c>
      <c r="C6" s="2" t="n">
        <v>118</v>
      </c>
      <c r="D6" s="3" t="n">
        <v>1258621</v>
      </c>
      <c r="E6" s="4" t="n">
        <v>0.3</v>
      </c>
      <c r="F6" s="3">
        <f>D6*(1+E6)</f>
        <v/>
      </c>
      <c r="G6" s="3">
        <f>C6*F6</f>
        <v/>
      </c>
    </row>
    <row r="7">
      <c r="A7" t="inlineStr">
        <is>
          <t>AA-04B</t>
        </is>
      </c>
      <c r="B7" t="inlineStr">
        <is>
          <t>VANITY MIRROR @ OVERWATER</t>
        </is>
      </c>
      <c r="C7" s="2" t="n">
        <v>91</v>
      </c>
      <c r="D7" s="3" t="n">
        <v>2863975</v>
      </c>
      <c r="E7" s="4" t="n">
        <v>0.3</v>
      </c>
      <c r="F7" s="3">
        <f>D7*(1+E7)</f>
        <v/>
      </c>
      <c r="G7" s="3">
        <f>C7*F7</f>
        <v/>
      </c>
    </row>
    <row r="8">
      <c r="B8" t="inlineStr">
        <is>
          <t>TOTAL PROYEK</t>
        </is>
      </c>
      <c r="C8" s="2">
        <f>SUM(C4:C7)</f>
        <v/>
      </c>
      <c r="G8" s="3">
        <f>SUM(G4:G7)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2026-10-03T13:36:59Z</dcterms:created>
  <dcterms:modified xmlns:dcterms="http://purl.org/dc/terms/" xmlns:xsi="http://www.w3.org/2001/XMLSchema-instance" xsi:type="dcterms:W3CDTF">2026-10-03T13:36:59Z</dcterms:modified>
</cp:coreProperties>
</file>